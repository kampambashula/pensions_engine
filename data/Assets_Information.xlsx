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alixtechnologies-my.sharepoint.com/personal/sysadmin_gralixtechnologies_onmicrosoft_com/Documents/Gralix Holdings/Actuarial Consulting/Pension Advisory/Model Templates/System/"/>
    </mc:Choice>
  </mc:AlternateContent>
  <xr:revisionPtr revIDLastSave="19" documentId="8_{BE1413E1-EE02-4375-ADFF-80CDD0A5B214}" xr6:coauthVersionLast="47" xr6:coauthVersionMax="47" xr10:uidLastSave="{DDA59B40-DC27-46F3-AAE2-A50E12DD683D}"/>
  <bookViews>
    <workbookView xWindow="-108" yWindow="-108" windowWidth="23256" windowHeight="13176" xr2:uid="{00000000-000D-0000-FFFF-FFFF00000000}"/>
  </bookViews>
  <sheets>
    <sheet name="Revenue Acc" sheetId="7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int1">#REF!</definedName>
    <definedName name="__int1">#REF!</definedName>
    <definedName name="_1">[1]Sheet2!#REF!</definedName>
    <definedName name="_Fill" hidden="1">#REF!</definedName>
    <definedName name="_int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ccrual_rate_1">[2]Assumptions!$G$12</definedName>
    <definedName name="Age_diff">[3]Input!$C$15</definedName>
    <definedName name="Age_rating">[2]Assumptions!$D$31</definedName>
    <definedName name="ann_f">#REF!</definedName>
    <definedName name="ann_m">#REF!</definedName>
    <definedName name="annualised_sal_incr">[4]J!$V$83</definedName>
    <definedName name="April">[5]Parameters!#REF!</definedName>
    <definedName name="ARR_ADV">[2]Assumptions!$G$16</definedName>
    <definedName name="August">[5]Parameters!#REF!</definedName>
    <definedName name="chelton">[1]Sheet2!#REF!</definedName>
    <definedName name="Chld_max_age">[3]Input!$C$20</definedName>
    <definedName name="Comm_ppn">[3]Input!$C$16</definedName>
    <definedName name="contrate">[6]Assumptions!$E$9</definedName>
    <definedName name="data">#REF!</definedName>
    <definedName name="December">[5]Parameters!#REF!</definedName>
    <definedName name="E">[7]J!$C$9</definedName>
    <definedName name="Employee_cont">[2]Assumptions!$D$12</definedName>
    <definedName name="Employee_Contribution_rate">[8]Assumptions!$B$4</definedName>
    <definedName name="Employer_Contribution_rate_for_expenses">[8]Assumptions!$B$6</definedName>
    <definedName name="equitable_return" localSheetId="0">#REF!</definedName>
    <definedName name="equitable_return">#REF!</definedName>
    <definedName name="fact">#REF!</definedName>
    <definedName name="facts">[9]Factors!$H$7:$L$105</definedName>
    <definedName name="February">[5]Parameters!#REF!</definedName>
    <definedName name="female">[10]Factors!$A$4:$D$96</definedName>
    <definedName name="Gross_Employer_Contribution_rate">[8]Assumptions!$B$7</definedName>
    <definedName name="Guarantee">[2]Assumptions!$D$35</definedName>
    <definedName name="I">[7]J!$E$9</definedName>
    <definedName name="INT">#REF!</definedName>
    <definedName name="int_all">#REF!</definedName>
    <definedName name="Int_alloc">#REF!</definedName>
    <definedName name="INT_CR">[11]Assets!$B$42</definedName>
    <definedName name="int_credit" localSheetId="0">[12]Summary!$F$3</definedName>
    <definedName name="int_credit">#REF!</definedName>
    <definedName name="IntCred">#REF!</definedName>
    <definedName name="Interest">#REF!</definedName>
    <definedName name="interest_credit">#REF!</definedName>
    <definedName name="intr_crd">#REF!</definedName>
    <definedName name="Investment_return">[2]Assumptions!$D$6</definedName>
    <definedName name="January">[5]Parameters!#REF!</definedName>
    <definedName name="JL_Females">'[3]Combined Factors'!$AQ$4:$BB$105</definedName>
    <definedName name="JL_Males">'[3]Combined Factors'!$AC$4:$AN$105</definedName>
    <definedName name="July">[5]Parameters!#REF!</definedName>
    <definedName name="June">[5]Parameters!#REF!</definedName>
    <definedName name="llll">[1]Sheet2!#REF!</definedName>
    <definedName name="llllmmmm">#REF!</definedName>
    <definedName name="m" hidden="1">#REF!</definedName>
    <definedName name="male">[10]Factors!$F$4:$I$90</definedName>
    <definedName name="March">[5]Parameters!#REF!</definedName>
    <definedName name="Married_proportion">[2]Assumptions!$G$27</definedName>
    <definedName name="May">[5]Parameters!#REF!</definedName>
    <definedName name="minpension_20">#REF!</definedName>
    <definedName name="minpension_30">#REF!</definedName>
    <definedName name="Mortality">[2]Assumptions!$D$29</definedName>
    <definedName name="November">[5]Parameters!#REF!</definedName>
    <definedName name="NRA">[2]Assumptions!$D$27</definedName>
    <definedName name="October">[5]Parameters!#REF!</definedName>
    <definedName name="otie" hidden="1">#REF!</definedName>
    <definedName name="P">[7]J!$C$11</definedName>
    <definedName name="pen_inc" localSheetId="0">#REF!</definedName>
    <definedName name="pen_inc">#REF!</definedName>
    <definedName name="pen_incr">#REF!</definedName>
    <definedName name="Pension_frequency">[2]Assumptions!$D$14</definedName>
    <definedName name="pension_incr">#REF!</definedName>
    <definedName name="Pension_increase">[2]Assumptions!$G$6</definedName>
    <definedName name="Post_Disc">[3]Input!$C$7</definedName>
    <definedName name="Post_int">[2]Assumptions!$G$8</definedName>
    <definedName name="Pre_Disc">[3]Input!$C$4</definedName>
    <definedName name="print.kanyola">!#REF!</definedName>
    <definedName name="print.kaoma">!#REF!</definedName>
    <definedName name="print.likanduko">!#REF!</definedName>
    <definedName name="print.mambwe">!#REF!</definedName>
    <definedName name="print.mukuka">!#REF!</definedName>
    <definedName name="print.pule">!#REF!</definedName>
    <definedName name="_xlnm.Print_Area" localSheetId="0">'Revenue Acc'!$A$1:$D$53</definedName>
    <definedName name="Rating_F">[3]Input!$E$13</definedName>
    <definedName name="Rating_M">[3]Input!$E$12</definedName>
    <definedName name="RESERVE">[11]Assets!$C$48</definedName>
    <definedName name="return">[6]Assumptions!$F$11</definedName>
    <definedName name="rev_f">[13]factosf!$T$8:$AJ$106</definedName>
    <definedName name="rev_m">[13]factorsm!$S$8:$AI$106</definedName>
    <definedName name="Reversion">[2]Assumptions!$G$29</definedName>
    <definedName name="sal_esc">[6]Assumptions!$F$13</definedName>
    <definedName name="Salary_averaging_period">[2]Assumptions!$D$10</definedName>
    <definedName name="Salary_escalation">[2]Assumptions!$D$8</definedName>
    <definedName name="Scaling_F">[3]Input!$D$13</definedName>
    <definedName name="Scaling_M">[3]Input!$D$12</definedName>
    <definedName name="Scheme_Name">[3]Input!$B$1</definedName>
    <definedName name="September">[5]Parameters!#REF!</definedName>
    <definedName name="SL_Females">'[3]Combined Factors'!$P$4:$AA$105</definedName>
    <definedName name="SL_Males">'[3]Combined Factors'!$B$4:$M$105</definedName>
    <definedName name="SL_RM">[2]Assumptions!$G$33</definedName>
    <definedName name="sn">[6]Assumptions!$D$31</definedName>
    <definedName name="sort" hidden="1">#REF!</definedName>
    <definedName name="Spouse_age_diff">[2]Assumptions!$G$31</definedName>
    <definedName name="Spouses_ppn">[3]Input!$C$17</definedName>
    <definedName name="Spouses_ppn_postCom">[3]Input!$C$18</definedName>
    <definedName name="tmpIEMemberData">#REF!</definedName>
    <definedName name="tmpIEMemberSalaries">#REF!</definedName>
    <definedName name="usd_actives">#REF!</definedName>
    <definedName name="usd_av">#REF!</definedName>
    <definedName name="usd_pending_exits">#REF!</definedName>
    <definedName name="usd_unclaimed_benefits">#REF!</definedName>
    <definedName name="Val_date">[2]Assumptions!$D$33</definedName>
    <definedName name="Valn_date">[3]Input!$B$2</definedName>
    <definedName name="zwd_actives">#REF!</definedName>
    <definedName name="zwd_pending_exits">#REF!</definedName>
    <definedName name="zwd_unclaimed_benefi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7" l="1"/>
  <c r="E23" i="7"/>
  <c r="C46" i="7"/>
  <c r="K34" i="7" l="1"/>
  <c r="B46" i="7"/>
  <c r="D57" i="7"/>
  <c r="B57" i="7"/>
  <c r="H34" i="7"/>
  <c r="H24" i="7"/>
  <c r="I34" i="7"/>
  <c r="I24" i="7"/>
  <c r="J34" i="7"/>
  <c r="K24" i="7"/>
  <c r="J24" i="7"/>
  <c r="B71" i="7"/>
  <c r="C71" i="7"/>
  <c r="D71" i="7"/>
  <c r="B73" i="7"/>
  <c r="C73" i="7"/>
  <c r="D73" i="7"/>
  <c r="I36" i="7" l="1"/>
  <c r="K36" i="7"/>
  <c r="K42" i="7" s="1"/>
  <c r="J36" i="7"/>
  <c r="H36" i="7"/>
  <c r="H42" i="7" s="1"/>
  <c r="C75" i="7"/>
  <c r="D47" i="7"/>
  <c r="B75" i="7"/>
  <c r="D75" i="7"/>
  <c r="I42" i="7" l="1"/>
  <c r="J42" i="7"/>
  <c r="C47" i="7"/>
  <c r="D46" i="7"/>
  <c r="B59" i="7"/>
  <c r="C58" i="7" l="1"/>
  <c r="D58" i="7" s="1"/>
  <c r="C57" i="7"/>
  <c r="B48" i="7" l="1"/>
  <c r="B45" i="7" l="1"/>
  <c r="D48" i="7"/>
  <c r="D60" i="7" s="1"/>
  <c r="C48" i="7"/>
  <c r="C60" i="7" s="1"/>
  <c r="B60" i="7"/>
  <c r="C59" i="7" l="1"/>
  <c r="B61" i="7"/>
  <c r="B62" i="7" s="1"/>
  <c r="B49" i="7" s="1"/>
  <c r="C45" i="7" l="1"/>
  <c r="C61" i="7" l="1"/>
  <c r="C62" i="7" s="1"/>
  <c r="C49" i="7" s="1"/>
  <c r="D59" i="7"/>
  <c r="D45" i="7"/>
  <c r="D61" i="7" l="1"/>
  <c r="D62" i="7" s="1"/>
  <c r="D49" i="7" s="1"/>
</calcChain>
</file>

<file path=xl/sharedStrings.xml><?xml version="1.0" encoding="utf-8"?>
<sst xmlns="http://schemas.openxmlformats.org/spreadsheetml/2006/main" count="97" uniqueCount="92">
  <si>
    <t>Check</t>
  </si>
  <si>
    <t>Per Financial Statements</t>
  </si>
  <si>
    <t>1-Jan-21 to 31-Dec-21</t>
  </si>
  <si>
    <t xml:space="preserve">Fund at beginning of period </t>
  </si>
  <si>
    <t>Assets correction</t>
  </si>
  <si>
    <t xml:space="preserve">Income </t>
  </si>
  <si>
    <t>Member AVCs</t>
  </si>
  <si>
    <t>Other income</t>
  </si>
  <si>
    <t xml:space="preserve">Total income </t>
  </si>
  <si>
    <t xml:space="preserve">Expenditure </t>
  </si>
  <si>
    <t>Pensions paid</t>
  </si>
  <si>
    <t>Lumpsum  resignations/dismissal</t>
  </si>
  <si>
    <t>Transfers to other funds</t>
  </si>
  <si>
    <t>PIA levies</t>
  </si>
  <si>
    <t>Life premiums paid to insurers</t>
  </si>
  <si>
    <t>Audit fees</t>
  </si>
  <si>
    <t>Administration expenditure</t>
  </si>
  <si>
    <t>Professional and legal fees</t>
  </si>
  <si>
    <t>Director expenses</t>
  </si>
  <si>
    <t>Amounts written down</t>
  </si>
  <si>
    <t xml:space="preserve">Total expenditure </t>
  </si>
  <si>
    <t xml:space="preserve">Fund at end of period </t>
  </si>
  <si>
    <t>Cash inflows</t>
  </si>
  <si>
    <t>Outflows</t>
  </si>
  <si>
    <t>Net new money</t>
  </si>
  <si>
    <t>Fund return</t>
  </si>
  <si>
    <t>Done by</t>
  </si>
  <si>
    <t>Date</t>
  </si>
  <si>
    <t>Checked by</t>
  </si>
  <si>
    <t>Government securities</t>
  </si>
  <si>
    <t>Total</t>
  </si>
  <si>
    <t>Investments</t>
  </si>
  <si>
    <t>Reversal of outstanding contributions</t>
  </si>
  <si>
    <t>Reversal of unpaid exits</t>
  </si>
  <si>
    <t>Adjusted Net Assets</t>
  </si>
  <si>
    <t>Adjustment for unpaid exits</t>
  </si>
  <si>
    <t>Fund expenses</t>
  </si>
  <si>
    <t>Investment fees</t>
  </si>
  <si>
    <t>Surplus</t>
  </si>
  <si>
    <t xml:space="preserve">Actuarial Valuation </t>
  </si>
  <si>
    <t>1-Jan-22 to 31-Dec-22</t>
  </si>
  <si>
    <t>1-Jan-23 to 31-Dec-23</t>
  </si>
  <si>
    <t>Property Plant and Equipment</t>
  </si>
  <si>
    <t>Right of use asset</t>
  </si>
  <si>
    <t>Intangible Assets</t>
  </si>
  <si>
    <t>Work-In-Progress</t>
  </si>
  <si>
    <t>Investment properties at fair value</t>
  </si>
  <si>
    <t>Staff loans</t>
  </si>
  <si>
    <t>Home loan scheme</t>
  </si>
  <si>
    <t>Microfinance loans</t>
  </si>
  <si>
    <t>Equity Investment at fair value</t>
  </si>
  <si>
    <t>Fixed Deposit</t>
  </si>
  <si>
    <t>Contributions due</t>
  </si>
  <si>
    <t>Other receivables and accrued income</t>
  </si>
  <si>
    <t>Benefits Payable</t>
  </si>
  <si>
    <t>Pensions Payable</t>
  </si>
  <si>
    <t>Long Term Loan</t>
  </si>
  <si>
    <t>Staff Pension Liability</t>
  </si>
  <si>
    <t>Lease Liabilities</t>
  </si>
  <si>
    <t>Liabilities</t>
  </si>
  <si>
    <t>Employee Contributions</t>
  </si>
  <si>
    <t>Employer Contributions</t>
  </si>
  <si>
    <t>Financing Gap</t>
  </si>
  <si>
    <t>Government Grants</t>
  </si>
  <si>
    <t xml:space="preserve">Investment Income </t>
  </si>
  <si>
    <t>Foreign Exchange (losses)/gains</t>
  </si>
  <si>
    <t>Change in FV of investment property</t>
  </si>
  <si>
    <t>Change in FV of equity investments</t>
  </si>
  <si>
    <t>Change in FV of Government securities</t>
  </si>
  <si>
    <t>Impairment on non-Performing Home Loans</t>
  </si>
  <si>
    <t>Impairment provision on microfinance loans</t>
  </si>
  <si>
    <t>Impairment provision on Staff Loans</t>
  </si>
  <si>
    <t>Gain/(Loss) on sale on disposal</t>
  </si>
  <si>
    <t>Commutation and lumpsum retirements</t>
  </si>
  <si>
    <t>Administrative expenses</t>
  </si>
  <si>
    <t>Finance Cost</t>
  </si>
  <si>
    <t>Cash at Bank</t>
  </si>
  <si>
    <t>Other Payables</t>
  </si>
  <si>
    <t>Withholding Tax</t>
  </si>
  <si>
    <t>Audit Fees</t>
  </si>
  <si>
    <t>Opening Balance</t>
  </si>
  <si>
    <t>Cashflows</t>
  </si>
  <si>
    <t>Closing Balance</t>
  </si>
  <si>
    <t>Lumsum on early retirements and death</t>
  </si>
  <si>
    <t>Other benefits</t>
  </si>
  <si>
    <t>Investment Expenses</t>
  </si>
  <si>
    <t>Investment property</t>
  </si>
  <si>
    <t>Net assets</t>
  </si>
  <si>
    <t>Xxxx Pension Fund</t>
  </si>
  <si>
    <t>Current Assets</t>
  </si>
  <si>
    <t>Income Statement</t>
  </si>
  <si>
    <t>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</si>
</sst>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 * #,##0.00_ ;_ * \-#,##0.00_ ;_ * &quot;-&quot;??_ ;_ @_ "/>
    <numFmt numFmtId="166" formatCode="_(* #,##0_);_(* \(#,##0\);_(* &quot;-&quot;??_);_(@_)"/>
    <numFmt numFmtId="167" formatCode="[$-409]d\-mmm\-yy;@"/>
    <numFmt numFmtId="168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11"/>
      <color theme="0"/>
      <name val="Corbel"/>
      <family val="2"/>
    </font>
    <font>
      <sz val="11"/>
      <color theme="1"/>
      <name val="Corbel"/>
      <family val="2"/>
    </font>
    <font>
      <b/>
      <sz val="11"/>
      <color theme="1"/>
      <name val="Corbel"/>
      <family val="2"/>
    </font>
    <font>
      <sz val="10"/>
      <name val="Corbel"/>
      <family val="2"/>
    </font>
    <font>
      <b/>
      <u/>
      <sz val="10"/>
      <color theme="1"/>
      <name val="Corbel"/>
      <family val="2"/>
    </font>
    <font>
      <b/>
      <sz val="10"/>
      <color theme="0"/>
      <name val="Corbel"/>
      <family val="2"/>
    </font>
    <font>
      <b/>
      <sz val="10"/>
      <name val="Corbel"/>
      <family val="2"/>
    </font>
    <font>
      <b/>
      <i/>
      <sz val="10"/>
      <color theme="1"/>
      <name val="Corbel"/>
      <family val="2"/>
    </font>
    <font>
      <i/>
      <sz val="10"/>
      <color theme="1"/>
      <name val="Corbe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5">
    <xf numFmtId="0" fontId="0" fillId="0" borderId="0" xfId="0"/>
    <xf numFmtId="0" fontId="7" fillId="0" borderId="1" xfId="0" applyFont="1" applyBorder="1"/>
    <xf numFmtId="168" fontId="6" fillId="0" borderId="1" xfId="1" applyNumberFormat="1" applyFont="1" applyBorder="1"/>
    <xf numFmtId="0" fontId="6" fillId="0" borderId="1" xfId="0" applyFont="1" applyBorder="1"/>
    <xf numFmtId="168" fontId="7" fillId="0" borderId="1" xfId="1" applyNumberFormat="1" applyFont="1" applyBorder="1"/>
    <xf numFmtId="0" fontId="8" fillId="2" borderId="3" xfId="8" applyFont="1" applyFill="1" applyBorder="1"/>
    <xf numFmtId="0" fontId="8" fillId="2" borderId="0" xfId="8" applyFont="1" applyFill="1"/>
    <xf numFmtId="0" fontId="9" fillId="2" borderId="0" xfId="7" applyFont="1" applyFill="1"/>
    <xf numFmtId="167" fontId="9" fillId="2" borderId="0" xfId="7" applyNumberFormat="1" applyFont="1" applyFill="1"/>
    <xf numFmtId="0" fontId="8" fillId="2" borderId="0" xfId="8" applyFont="1" applyFill="1" applyAlignment="1">
      <alignment wrapText="1"/>
    </xf>
    <xf numFmtId="0" fontId="11" fillId="2" borderId="1" xfId="9" applyFont="1" applyFill="1" applyBorder="1"/>
    <xf numFmtId="166" fontId="11" fillId="2" borderId="1" xfId="10" applyNumberFormat="1" applyFont="1" applyFill="1" applyBorder="1" applyAlignment="1">
      <alignment horizontal="right"/>
    </xf>
    <xf numFmtId="0" fontId="8" fillId="2" borderId="1" xfId="9" applyFont="1" applyFill="1" applyBorder="1"/>
    <xf numFmtId="166" fontId="8" fillId="2" borderId="1" xfId="10" applyNumberFormat="1" applyFont="1" applyFill="1" applyBorder="1" applyAlignment="1">
      <alignment horizontal="right"/>
    </xf>
    <xf numFmtId="166" fontId="8" fillId="2" borderId="0" xfId="8" applyNumberFormat="1" applyFont="1" applyFill="1" applyAlignment="1">
      <alignment wrapText="1"/>
    </xf>
    <xf numFmtId="166" fontId="8" fillId="0" borderId="1" xfId="10" applyNumberFormat="1" applyFont="1" applyFill="1" applyBorder="1" applyAlignment="1">
      <alignment horizontal="right"/>
    </xf>
    <xf numFmtId="166" fontId="8" fillId="2" borderId="0" xfId="8" applyNumberFormat="1" applyFont="1" applyFill="1"/>
    <xf numFmtId="166" fontId="11" fillId="0" borderId="1" xfId="10" applyNumberFormat="1" applyFont="1" applyFill="1" applyBorder="1" applyAlignment="1">
      <alignment horizontal="right"/>
    </xf>
    <xf numFmtId="0" fontId="8" fillId="2" borderId="1" xfId="8" applyFont="1" applyFill="1" applyBorder="1" applyAlignment="1">
      <alignment horizontal="left"/>
    </xf>
    <xf numFmtId="0" fontId="8" fillId="2" borderId="0" xfId="8" applyFont="1" applyFill="1" applyAlignment="1">
      <alignment horizontal="left"/>
    </xf>
    <xf numFmtId="166" fontId="8" fillId="2" borderId="0" xfId="10" applyNumberFormat="1" applyFont="1" applyFill="1" applyAlignment="1">
      <alignment horizontal="right"/>
    </xf>
    <xf numFmtId="0" fontId="8" fillId="2" borderId="2" xfId="8" applyFont="1" applyFill="1" applyBorder="1" applyAlignment="1">
      <alignment horizontal="left"/>
    </xf>
    <xf numFmtId="166" fontId="8" fillId="3" borderId="2" xfId="8" applyNumberFormat="1" applyFont="1" applyFill="1" applyBorder="1" applyAlignment="1">
      <alignment horizontal="right"/>
    </xf>
    <xf numFmtId="166" fontId="8" fillId="4" borderId="2" xfId="8" applyNumberFormat="1" applyFont="1" applyFill="1" applyBorder="1" applyAlignment="1">
      <alignment horizontal="right"/>
    </xf>
    <xf numFmtId="166" fontId="8" fillId="4" borderId="2" xfId="10" applyNumberFormat="1" applyFont="1" applyFill="1" applyBorder="1" applyAlignment="1">
      <alignment horizontal="right"/>
    </xf>
    <xf numFmtId="0" fontId="11" fillId="2" borderId="2" xfId="8" applyFont="1" applyFill="1" applyBorder="1" applyAlignment="1">
      <alignment horizontal="left"/>
    </xf>
    <xf numFmtId="10" fontId="11" fillId="4" borderId="2" xfId="11" applyNumberFormat="1" applyFont="1" applyFill="1" applyBorder="1" applyAlignment="1">
      <alignment horizontal="right"/>
    </xf>
    <xf numFmtId="0" fontId="11" fillId="2" borderId="0" xfId="8" applyFont="1" applyFill="1" applyAlignment="1">
      <alignment horizontal="left"/>
    </xf>
    <xf numFmtId="0" fontId="12" fillId="2" borderId="0" xfId="7" applyFont="1" applyFill="1"/>
    <xf numFmtId="166" fontId="13" fillId="2" borderId="0" xfId="10" applyNumberFormat="1" applyFont="1" applyFill="1"/>
    <xf numFmtId="0" fontId="8" fillId="2" borderId="0" xfId="8" applyFont="1" applyFill="1" applyAlignment="1">
      <alignment horizontal="right"/>
    </xf>
    <xf numFmtId="14" fontId="8" fillId="2" borderId="0" xfId="8" applyNumberFormat="1" applyFont="1" applyFill="1" applyAlignment="1">
      <alignment horizontal="left"/>
    </xf>
    <xf numFmtId="166" fontId="8" fillId="2" borderId="0" xfId="8" applyNumberFormat="1" applyFont="1" applyFill="1" applyAlignment="1">
      <alignment horizontal="right"/>
    </xf>
    <xf numFmtId="0" fontId="10" fillId="6" borderId="1" xfId="9" applyFont="1" applyFill="1" applyBorder="1" applyAlignment="1">
      <alignment horizontal="right" wrapText="1"/>
    </xf>
    <xf numFmtId="0" fontId="8" fillId="2" borderId="1" xfId="8" applyFont="1" applyFill="1" applyBorder="1" applyAlignment="1">
      <alignment horizontal="right"/>
    </xf>
    <xf numFmtId="0" fontId="11" fillId="2" borderId="1" xfId="8" applyFont="1" applyFill="1" applyBorder="1" applyAlignment="1">
      <alignment horizontal="left"/>
    </xf>
    <xf numFmtId="168" fontId="8" fillId="2" borderId="1" xfId="1" applyNumberFormat="1" applyFont="1" applyFill="1" applyBorder="1" applyAlignment="1">
      <alignment horizontal="right"/>
    </xf>
    <xf numFmtId="168" fontId="11" fillId="2" borderId="1" xfId="8" applyNumberFormat="1" applyFont="1" applyFill="1" applyBorder="1" applyAlignment="1">
      <alignment horizontal="right"/>
    </xf>
    <xf numFmtId="166" fontId="6" fillId="0" borderId="1" xfId="1" applyNumberFormat="1" applyFont="1" applyBorder="1"/>
    <xf numFmtId="166" fontId="7" fillId="0" borderId="1" xfId="1" applyNumberFormat="1" applyFont="1" applyBorder="1"/>
    <xf numFmtId="10" fontId="8" fillId="2" borderId="0" xfId="11" applyNumberFormat="1" applyFont="1" applyFill="1" applyAlignment="1">
      <alignment horizontal="right"/>
    </xf>
    <xf numFmtId="0" fontId="8" fillId="5" borderId="0" xfId="8" applyFont="1" applyFill="1"/>
    <xf numFmtId="0" fontId="5" fillId="5" borderId="1" xfId="0" applyFont="1" applyFill="1" applyBorder="1"/>
    <xf numFmtId="0" fontId="8" fillId="7" borderId="0" xfId="8" applyFont="1" applyFill="1"/>
    <xf numFmtId="0" fontId="8" fillId="7" borderId="0" xfId="8" applyFont="1" applyFill="1" applyAlignment="1">
      <alignment wrapText="1"/>
    </xf>
  </cellXfs>
  <cellStyles count="12">
    <cellStyle name="Comma" xfId="1" builtinId="3"/>
    <cellStyle name="Comma 2" xfId="5" xr:uid="{00000000-0005-0000-0000-000001000000}"/>
    <cellStyle name="Comma 3" xfId="10" xr:uid="{00000000-0005-0000-0000-000002000000}"/>
    <cellStyle name="Normal" xfId="0" builtinId="0"/>
    <cellStyle name="Normal 2" xfId="4" xr:uid="{00000000-0005-0000-0000-000004000000}"/>
    <cellStyle name="Normal 2 10" xfId="2" xr:uid="{00000000-0005-0000-0000-000005000000}"/>
    <cellStyle name="Normal 2 2 2" xfId="9" xr:uid="{00000000-0005-0000-0000-000006000000}"/>
    <cellStyle name="Normal 3" xfId="3" xr:uid="{00000000-0005-0000-0000-000007000000}"/>
    <cellStyle name="Normal 4" xfId="7" xr:uid="{00000000-0005-0000-0000-000008000000}"/>
    <cellStyle name="Normal 5" xfId="8" xr:uid="{00000000-0005-0000-0000-000009000000}"/>
    <cellStyle name="Per cent 2" xfId="6" xr:uid="{00000000-0005-0000-0000-00000A000000}"/>
    <cellStyle name="Per cent 3" xfId="11" xr:uid="{00000000-0005-0000-0000-00000B000000}"/>
  </cellStyles>
  <dxfs count="1">
    <dxf>
      <font>
        <color rgb="FFFF000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inee_ii\shareddocs\Documents%20and%20Settings\All%20Users\Documents\Direct\Factors\rev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6DF5C9A\NSSA%20Staff%20Pension%20Fund%20%20-%20Actuarial%2019%20Valuation%20as%20at%2031%20Dec%202021%20v2%20corrected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atchison\E\Pension\Ecobank\2015\working%20files\Pensioners_ecobank_31122015@5%2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mlactuarial\Actuarial\Rudo\Valuations\southwales\SWE%202004%20FINALf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C1CBC1\Assets_TPZ_Pension_Fund_Splits_31122021%2012month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shareddocs\Documents%20and%20Settings\Samuel\Desktop\Cafca%20Valuation%2031%20%20December%202010%20-%20CALC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sruredzo\LOCALS~1\Temp\notesE1EF34\PENSION%201%20PENSIONER%20LISTS\DOCUME~1\pkunze\LOCALS~1\Temp\notesE1EF34\NSSA%20Staff%20Pension%20Scheme%20Quotation%20as%20at%2031%20March%20200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.115\e\NSSA\NSSA%20Staff_Pension_Scheme\31%20Dec%202017%20Valuation\Schedules\Schedule_NSSADC_31122017.xlsb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ndra-laptop\SharedDocs\Documents%20and%20Settings\All%20Users\Documents\Direct\Nestle\2007%20Calcu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more\shareddocs\direct\Quantum\NESTLE\PENSIOners%20200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shareddocs\Direct\Marsh\Heritage%20Insurance%20Pension%20Fund\Valuation%202012\Calcs\calcs%20201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atchison\e\Users\Public\Direct%20Tigz\Zimbabwe\ART%20%20PF\VAln%2030%20Sept%202014\Calcs\Copy%20of%20Calcs%20as%20at%2030%20Sept%202014_TM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onye\shareddocs\Direct\Art%20Corp\Fin%20Review%20Dec%202009\Calcs%20Dec%2009\ART%20PENSIONERS%20Calc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-trail"/>
      <sheetName val="PS - Val Model"/>
      <sheetName val="FS - Val Model"/>
      <sheetName val="BasisTable"/>
      <sheetName val="Sensitivity"/>
      <sheetName val="AOS - DC"/>
      <sheetName val="AOS - DB"/>
      <sheetName val="Assumptions"/>
      <sheetName val="DB Actives Acc Conts"/>
      <sheetName val="DB Active Members"/>
      <sheetName val="Pensioners"/>
      <sheetName val="Actives_DB at 31-Dec-18"/>
      <sheetName val="Pensioners at 31-Dec-18"/>
      <sheetName val="Revenue Acc Buildup"/>
      <sheetName val="DC Actives Acc Cont"/>
      <sheetName val="DB Revaluation Gains"/>
      <sheetName val="Withdraw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6">
          <cell r="D6">
            <v>8.5000000000000006E-2</v>
          </cell>
          <cell r="G6">
            <v>3.5000000000000003E-2</v>
          </cell>
        </row>
        <row r="8">
          <cell r="D8">
            <v>0.06</v>
          </cell>
          <cell r="G8">
            <v>4.8309178743961345E-2</v>
          </cell>
        </row>
        <row r="10">
          <cell r="D10">
            <v>3</v>
          </cell>
        </row>
        <row r="12">
          <cell r="D12">
            <v>0.1</v>
          </cell>
          <cell r="G12">
            <v>2.2222222222222223E-2</v>
          </cell>
        </row>
        <row r="14">
          <cell r="D14">
            <v>12</v>
          </cell>
        </row>
        <row r="16">
          <cell r="G16" t="str">
            <v>ARR</v>
          </cell>
        </row>
        <row r="27">
          <cell r="D27">
            <v>65</v>
          </cell>
          <cell r="G27">
            <v>1</v>
          </cell>
        </row>
        <row r="29">
          <cell r="D29" t="str">
            <v>A55</v>
          </cell>
          <cell r="G29">
            <v>0.5</v>
          </cell>
        </row>
        <row r="31">
          <cell r="D31">
            <v>0</v>
          </cell>
          <cell r="G31">
            <v>3</v>
          </cell>
        </row>
        <row r="33">
          <cell r="D33">
            <v>44561.999988425923</v>
          </cell>
          <cell r="G33" t="str">
            <v>RM</v>
          </cell>
        </row>
        <row r="35">
          <cell r="D35">
            <v>1</v>
          </cell>
        </row>
      </sheetData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Combined Factors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ves Calcs - Targeting"/>
      <sheetName val="Assumptions"/>
      <sheetName val="actives"/>
      <sheetName val="suspended"/>
      <sheetName val="ASSETS"/>
    </sheetNames>
    <sheetDataSet>
      <sheetData sheetId="0" refreshError="1"/>
      <sheetData sheetId="1" refreshError="1">
        <row r="5">
          <cell r="F5">
            <v>9.5719999999999992</v>
          </cell>
        </row>
        <row r="9">
          <cell r="E9">
            <v>7.0000000000000007E-2</v>
          </cell>
        </row>
        <row r="11">
          <cell r="F11">
            <v>0.1</v>
          </cell>
        </row>
        <row r="13">
          <cell r="F13">
            <v>0.09</v>
          </cell>
        </row>
        <row r="31">
          <cell r="D31">
            <v>12.540536612263759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eral_grant_assurance"/>
      <sheetName val="A"/>
      <sheetName val="B"/>
      <sheetName val="C"/>
      <sheetName val="D"/>
      <sheetName val="E"/>
      <sheetName val="F"/>
      <sheetName val="G"/>
      <sheetName val="J"/>
      <sheetName val="Quotation"/>
      <sheetName val="Appendix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C9">
            <v>0.11</v>
          </cell>
          <cell r="E9">
            <v>0.12</v>
          </cell>
        </row>
        <row r="11">
          <cell r="C11">
            <v>7.0000000000000007E-2</v>
          </cell>
        </row>
      </sheetData>
      <sheetData sheetId="9"/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 allocation (2)"/>
      <sheetName val="Factorsf"/>
      <sheetName val="Factorsm"/>
      <sheetName val="Assets"/>
      <sheetName val="Actives Calcs - Targeting"/>
      <sheetName val="Actives"/>
      <sheetName val="Unclaimed benefit"/>
      <sheetName val="deferred members"/>
      <sheetName val="deffereds and pending 2011"/>
      <sheetName val="defferds ands and pending 2010"/>
      <sheetName val="Pending Exits"/>
      <sheetName val="sheet 2"/>
      <sheetName val="Paid eXITS"/>
      <sheetName val="Revenue Account "/>
      <sheetName val="Combined data -2010"/>
      <sheetName val="Combined data 2011"/>
      <sheetName val="Reconciliation"/>
      <sheetName val="Sheet1"/>
      <sheetName val="Assumptions"/>
      <sheetName val="targeting"/>
      <sheetName val="schedules"/>
    </sheetNames>
    <sheetDataSet>
      <sheetData sheetId="0"/>
      <sheetData sheetId="1"/>
      <sheetData sheetId="2"/>
      <sheetData sheetId="3">
        <row r="42">
          <cell r="B42">
            <v>0.189</v>
          </cell>
        </row>
        <row r="48">
          <cell r="C48">
            <v>15029.074029918991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sioners"/>
      <sheetName val="factosf"/>
      <sheetName val="factorsm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5"/>
  <sheetViews>
    <sheetView tabSelected="1" zoomScale="90" zoomScaleNormal="90" workbookViewId="0">
      <pane ySplit="5" topLeftCell="A37" activePane="bottomLeft" state="frozen"/>
      <selection pane="bottomLeft" activeCell="E49" sqref="E49"/>
    </sheetView>
  </sheetViews>
  <sheetFormatPr defaultColWidth="9.109375" defaultRowHeight="13.8" x14ac:dyDescent="0.3"/>
  <cols>
    <col min="1" max="1" width="37.6640625" style="19" customWidth="1"/>
    <col min="2" max="2" width="18.5546875" style="30" customWidth="1"/>
    <col min="3" max="4" width="18.44140625" style="30" customWidth="1"/>
    <col min="5" max="5" width="13.6640625" style="6" customWidth="1"/>
    <col min="6" max="6" width="3.44140625" style="43" customWidth="1"/>
    <col min="7" max="7" width="35.88671875" style="6" bestFit="1" customWidth="1"/>
    <col min="8" max="8" width="15.44140625" style="6" bestFit="1" customWidth="1"/>
    <col min="9" max="9" width="15" style="6" bestFit="1" customWidth="1"/>
    <col min="10" max="10" width="15.21875" style="6" bestFit="1" customWidth="1"/>
    <col min="11" max="11" width="15" style="6" bestFit="1" customWidth="1"/>
    <col min="12" max="16384" width="9.109375" style="6"/>
  </cols>
  <sheetData>
    <row r="1" spans="1:11" x14ac:dyDescent="0.3">
      <c r="A1" s="7" t="s">
        <v>88</v>
      </c>
      <c r="B1" s="7"/>
      <c r="C1" s="7"/>
      <c r="D1" s="7"/>
      <c r="G1" s="7" t="s">
        <v>88</v>
      </c>
    </row>
    <row r="2" spans="1:11" x14ac:dyDescent="0.3">
      <c r="A2" s="7" t="s">
        <v>39</v>
      </c>
      <c r="B2" s="8"/>
      <c r="C2" s="8"/>
      <c r="D2" s="8"/>
      <c r="G2" s="7" t="s">
        <v>39</v>
      </c>
    </row>
    <row r="3" spans="1:11" x14ac:dyDescent="0.3">
      <c r="A3" s="7" t="s">
        <v>90</v>
      </c>
      <c r="B3" s="7"/>
      <c r="C3" s="7"/>
      <c r="D3" s="7"/>
      <c r="G3" s="7" t="s">
        <v>91</v>
      </c>
    </row>
    <row r="4" spans="1:11" ht="27.75" customHeight="1" x14ac:dyDescent="0.3">
      <c r="A4" s="33"/>
      <c r="B4" s="33" t="s">
        <v>1</v>
      </c>
      <c r="C4" s="33" t="s">
        <v>1</v>
      </c>
      <c r="D4" s="33" t="s">
        <v>1</v>
      </c>
      <c r="G4" s="41"/>
      <c r="H4" s="41"/>
      <c r="I4" s="41"/>
      <c r="J4" s="41"/>
      <c r="K4" s="41"/>
    </row>
    <row r="5" spans="1:11" s="9" customFormat="1" ht="25.5" customHeight="1" x14ac:dyDescent="0.3">
      <c r="A5" s="33"/>
      <c r="B5" s="33" t="s">
        <v>2</v>
      </c>
      <c r="C5" s="33" t="s">
        <v>40</v>
      </c>
      <c r="D5" s="33" t="s">
        <v>41</v>
      </c>
      <c r="F5" s="44"/>
      <c r="G5" s="42"/>
      <c r="H5" s="42">
        <v>2020</v>
      </c>
      <c r="I5" s="42">
        <v>2021</v>
      </c>
      <c r="J5" s="42">
        <v>2022</v>
      </c>
      <c r="K5" s="42">
        <v>2023</v>
      </c>
    </row>
    <row r="6" spans="1:11" s="9" customFormat="1" ht="16.2" customHeight="1" x14ac:dyDescent="0.3">
      <c r="A6" s="10" t="s">
        <v>3</v>
      </c>
      <c r="B6" s="11">
        <v>1537742170</v>
      </c>
      <c r="C6" s="11">
        <v>3610950327</v>
      </c>
      <c r="D6" s="11">
        <v>3692994662</v>
      </c>
      <c r="F6" s="44"/>
      <c r="G6" s="1" t="s">
        <v>31</v>
      </c>
      <c r="H6" s="2"/>
      <c r="I6" s="2"/>
      <c r="J6" s="2"/>
      <c r="K6" s="2"/>
    </row>
    <row r="7" spans="1:11" s="9" customFormat="1" ht="13.8" customHeight="1" x14ac:dyDescent="0.3">
      <c r="A7" s="12" t="s">
        <v>4</v>
      </c>
      <c r="B7" s="13">
        <v>0</v>
      </c>
      <c r="C7" s="13">
        <v>0</v>
      </c>
      <c r="D7" s="13">
        <v>0</v>
      </c>
      <c r="F7" s="44"/>
      <c r="G7" s="3" t="s">
        <v>42</v>
      </c>
      <c r="H7" s="2">
        <v>5721619</v>
      </c>
      <c r="I7" s="2">
        <v>11367535</v>
      </c>
      <c r="J7" s="2">
        <v>13153040</v>
      </c>
      <c r="K7" s="2">
        <v>21682036</v>
      </c>
    </row>
    <row r="8" spans="1:11" s="9" customFormat="1" ht="14.4" x14ac:dyDescent="0.3">
      <c r="A8" s="10" t="s">
        <v>3</v>
      </c>
      <c r="B8" s="11">
        <v>1537742170</v>
      </c>
      <c r="C8" s="11">
        <v>3610950327</v>
      </c>
      <c r="D8" s="11">
        <v>3692994662</v>
      </c>
      <c r="F8" s="44"/>
      <c r="G8" s="3" t="s">
        <v>43</v>
      </c>
      <c r="H8" s="2">
        <v>731256</v>
      </c>
      <c r="I8" s="2">
        <v>0</v>
      </c>
      <c r="J8" s="2">
        <v>0</v>
      </c>
      <c r="K8" s="2">
        <v>0</v>
      </c>
    </row>
    <row r="9" spans="1:11" s="9" customFormat="1" ht="14.4" x14ac:dyDescent="0.3">
      <c r="A9" s="10" t="s">
        <v>5</v>
      </c>
      <c r="B9" s="11"/>
      <c r="C9" s="11"/>
      <c r="D9" s="11"/>
      <c r="F9" s="44"/>
      <c r="G9" s="3" t="s">
        <v>44</v>
      </c>
      <c r="H9" s="2">
        <v>82154</v>
      </c>
      <c r="I9" s="2">
        <v>559191</v>
      </c>
      <c r="J9" s="2">
        <v>864953</v>
      </c>
      <c r="K9" s="2">
        <v>335515</v>
      </c>
    </row>
    <row r="10" spans="1:11" s="9" customFormat="1" ht="14.4" x14ac:dyDescent="0.3">
      <c r="A10" s="12" t="s">
        <v>60</v>
      </c>
      <c r="B10" s="15">
        <v>529312952</v>
      </c>
      <c r="C10" s="15">
        <v>594963583</v>
      </c>
      <c r="D10" s="13">
        <v>663275222</v>
      </c>
      <c r="F10" s="44"/>
      <c r="G10" s="3" t="s">
        <v>45</v>
      </c>
      <c r="H10" s="2">
        <v>1206054941</v>
      </c>
      <c r="I10" s="2">
        <v>1445095893</v>
      </c>
      <c r="J10" s="2">
        <v>391671504</v>
      </c>
      <c r="K10" s="2">
        <v>391671504</v>
      </c>
    </row>
    <row r="11" spans="1:11" s="9" customFormat="1" ht="14.4" x14ac:dyDescent="0.3">
      <c r="A11" s="12" t="s">
        <v>6</v>
      </c>
      <c r="B11" s="15">
        <v>0</v>
      </c>
      <c r="C11" s="15">
        <v>0</v>
      </c>
      <c r="D11" s="13">
        <v>0</v>
      </c>
      <c r="F11" s="44"/>
      <c r="G11" s="3" t="s">
        <v>46</v>
      </c>
      <c r="H11" s="2">
        <v>243988592</v>
      </c>
      <c r="I11" s="2">
        <v>253426748</v>
      </c>
      <c r="J11" s="2">
        <v>1283231792</v>
      </c>
      <c r="K11" s="2">
        <v>1295820431</v>
      </c>
    </row>
    <row r="12" spans="1:11" s="9" customFormat="1" ht="14.4" x14ac:dyDescent="0.3">
      <c r="A12" s="12" t="s">
        <v>61</v>
      </c>
      <c r="B12" s="15">
        <v>506974811</v>
      </c>
      <c r="C12" s="15">
        <v>565094438</v>
      </c>
      <c r="D12" s="13">
        <v>646730900</v>
      </c>
      <c r="E12" s="14"/>
      <c r="F12" s="44"/>
      <c r="G12" s="3" t="s">
        <v>47</v>
      </c>
      <c r="H12" s="2">
        <v>36092677</v>
      </c>
      <c r="I12" s="2">
        <v>8130931</v>
      </c>
      <c r="J12" s="2">
        <v>25875993</v>
      </c>
      <c r="K12" s="2">
        <v>31582712</v>
      </c>
    </row>
    <row r="13" spans="1:11" ht="14.4" x14ac:dyDescent="0.3">
      <c r="A13" s="12" t="s">
        <v>62</v>
      </c>
      <c r="B13" s="15">
        <v>1839246415</v>
      </c>
      <c r="C13" s="15">
        <v>1739885448</v>
      </c>
      <c r="D13" s="13">
        <v>1796719581</v>
      </c>
      <c r="G13" s="3" t="s">
        <v>48</v>
      </c>
      <c r="H13" s="2">
        <v>189613708</v>
      </c>
      <c r="I13" s="2">
        <v>193680476</v>
      </c>
      <c r="J13" s="2">
        <v>203415891</v>
      </c>
      <c r="K13" s="2">
        <v>171681772</v>
      </c>
    </row>
    <row r="14" spans="1:11" ht="14.4" x14ac:dyDescent="0.3">
      <c r="A14" s="12" t="s">
        <v>63</v>
      </c>
      <c r="B14" s="15">
        <v>227587500</v>
      </c>
      <c r="C14" s="15">
        <v>327157031</v>
      </c>
      <c r="D14" s="13">
        <v>601280030</v>
      </c>
      <c r="G14" s="3" t="s">
        <v>49</v>
      </c>
      <c r="H14" s="2">
        <v>404356411</v>
      </c>
      <c r="I14" s="2">
        <v>401334434</v>
      </c>
      <c r="J14" s="2">
        <v>553869137</v>
      </c>
      <c r="K14" s="2">
        <v>640599481</v>
      </c>
    </row>
    <row r="15" spans="1:11" ht="14.4" x14ac:dyDescent="0.3">
      <c r="A15" s="12" t="s">
        <v>64</v>
      </c>
      <c r="B15" s="15">
        <v>444202348</v>
      </c>
      <c r="C15" s="15">
        <v>573484655</v>
      </c>
      <c r="D15" s="13">
        <v>754800411</v>
      </c>
      <c r="G15" s="3" t="s">
        <v>50</v>
      </c>
      <c r="H15" s="2">
        <v>146823365</v>
      </c>
      <c r="I15" s="2">
        <v>364557344</v>
      </c>
      <c r="J15" s="2">
        <v>443205074</v>
      </c>
      <c r="K15" s="2">
        <v>685586983</v>
      </c>
    </row>
    <row r="16" spans="1:11" ht="14.4" x14ac:dyDescent="0.3">
      <c r="A16" s="12" t="s">
        <v>65</v>
      </c>
      <c r="B16" s="15">
        <v>-26461319</v>
      </c>
      <c r="C16" s="15">
        <v>7170611</v>
      </c>
      <c r="D16" s="13">
        <v>-238378175</v>
      </c>
      <c r="G16" s="3" t="s">
        <v>51</v>
      </c>
      <c r="H16" s="2">
        <v>248184707</v>
      </c>
      <c r="I16" s="2">
        <v>262295102</v>
      </c>
      <c r="J16" s="2">
        <v>354367170</v>
      </c>
      <c r="K16" s="2">
        <v>613426401</v>
      </c>
    </row>
    <row r="17" spans="1:11" ht="14.4" x14ac:dyDescent="0.3">
      <c r="A17" s="12" t="s">
        <v>66</v>
      </c>
      <c r="B17" s="15">
        <v>9438156</v>
      </c>
      <c r="C17" s="15">
        <v>-169381297</v>
      </c>
      <c r="D17" s="15">
        <v>0</v>
      </c>
      <c r="E17" s="16"/>
      <c r="G17" s="3" t="s">
        <v>29</v>
      </c>
      <c r="H17" s="2">
        <v>541417295</v>
      </c>
      <c r="I17" s="2">
        <v>1046050705</v>
      </c>
      <c r="J17" s="2">
        <v>1716419507</v>
      </c>
      <c r="K17" s="2">
        <v>2069339088</v>
      </c>
    </row>
    <row r="18" spans="1:11" s="9" customFormat="1" ht="14.4" x14ac:dyDescent="0.3">
      <c r="A18" s="12" t="s">
        <v>67</v>
      </c>
      <c r="B18" s="15">
        <v>215922801</v>
      </c>
      <c r="C18" s="15">
        <v>78647731</v>
      </c>
      <c r="D18" s="15">
        <v>242381909</v>
      </c>
      <c r="E18" s="14"/>
      <c r="F18" s="44"/>
      <c r="G18" s="3"/>
      <c r="H18" s="2"/>
      <c r="I18" s="2"/>
      <c r="J18" s="2"/>
      <c r="K18" s="2"/>
    </row>
    <row r="19" spans="1:11" s="9" customFormat="1" ht="14.4" x14ac:dyDescent="0.3">
      <c r="A19" s="12" t="s">
        <v>68</v>
      </c>
      <c r="B19" s="15">
        <v>0</v>
      </c>
      <c r="C19" s="15">
        <v>0</v>
      </c>
      <c r="D19" s="15">
        <v>0</v>
      </c>
      <c r="F19" s="44"/>
      <c r="G19" s="1" t="s">
        <v>89</v>
      </c>
      <c r="H19" s="2"/>
      <c r="I19" s="2"/>
      <c r="J19" s="2"/>
      <c r="K19" s="2"/>
    </row>
    <row r="20" spans="1:11" s="9" customFormat="1" ht="14.4" x14ac:dyDescent="0.3">
      <c r="A20" s="12" t="s">
        <v>72</v>
      </c>
      <c r="B20" s="15">
        <v>-687847</v>
      </c>
      <c r="C20" s="15">
        <v>1043</v>
      </c>
      <c r="D20" s="15">
        <v>278468</v>
      </c>
      <c r="F20" s="44"/>
      <c r="G20" s="3" t="s">
        <v>52</v>
      </c>
      <c r="H20" s="2">
        <v>978610997</v>
      </c>
      <c r="I20" s="2">
        <v>887390371</v>
      </c>
      <c r="J20" s="2">
        <v>9289379</v>
      </c>
      <c r="K20" s="2">
        <v>33775607</v>
      </c>
    </row>
    <row r="21" spans="1:11" ht="14.4" x14ac:dyDescent="0.3">
      <c r="A21" s="12" t="s">
        <v>7</v>
      </c>
      <c r="B21" s="15">
        <v>10056377</v>
      </c>
      <c r="C21" s="15">
        <v>238793613</v>
      </c>
      <c r="D21" s="15">
        <v>8716811</v>
      </c>
      <c r="G21" s="3" t="s">
        <v>53</v>
      </c>
      <c r="H21" s="2">
        <v>70431675</v>
      </c>
      <c r="I21" s="2">
        <v>55150425</v>
      </c>
      <c r="J21" s="2">
        <v>90576995</v>
      </c>
      <c r="K21" s="2">
        <v>52734873</v>
      </c>
    </row>
    <row r="22" spans="1:11" ht="14.4" x14ac:dyDescent="0.3">
      <c r="A22" s="10" t="s">
        <v>8</v>
      </c>
      <c r="B22" s="17">
        <v>3755592194</v>
      </c>
      <c r="C22" s="17">
        <v>3955816856</v>
      </c>
      <c r="D22" s="11">
        <v>4475805157</v>
      </c>
      <c r="G22" s="3" t="s">
        <v>76</v>
      </c>
      <c r="H22" s="2">
        <v>276870267</v>
      </c>
      <c r="I22" s="2">
        <v>568545945</v>
      </c>
      <c r="J22" s="2">
        <v>459681573</v>
      </c>
      <c r="K22" s="2">
        <v>574661534</v>
      </c>
    </row>
    <row r="23" spans="1:11" ht="14.4" x14ac:dyDescent="0.3">
      <c r="A23" s="10" t="s">
        <v>9</v>
      </c>
      <c r="B23" s="17"/>
      <c r="C23" s="17"/>
      <c r="D23" s="11"/>
      <c r="E23" s="16">
        <f>SUM(D10:D12,D13:D15,D21)</f>
        <v>4471522955</v>
      </c>
      <c r="G23" s="3" t="s">
        <v>86</v>
      </c>
      <c r="H23" s="2">
        <v>0</v>
      </c>
      <c r="I23" s="2"/>
      <c r="J23" s="2">
        <v>0</v>
      </c>
      <c r="K23" s="2">
        <v>0</v>
      </c>
    </row>
    <row r="24" spans="1:11" ht="13.5" customHeight="1" x14ac:dyDescent="0.3">
      <c r="A24" s="12" t="s">
        <v>10</v>
      </c>
      <c r="B24" s="15">
        <v>647835238</v>
      </c>
      <c r="C24" s="15">
        <v>790116202</v>
      </c>
      <c r="D24" s="13">
        <v>943532468</v>
      </c>
      <c r="G24" s="3"/>
      <c r="H24" s="4">
        <f>SUM(H6:H23)</f>
        <v>4348979664</v>
      </c>
      <c r="I24" s="4">
        <f>SUM(I6:I23)</f>
        <v>5497585100</v>
      </c>
      <c r="J24" s="4">
        <f>SUM(J6:J23)</f>
        <v>5545622008</v>
      </c>
      <c r="K24" s="4">
        <f>SUM(K6:K23)</f>
        <v>6582897937</v>
      </c>
    </row>
    <row r="25" spans="1:11" ht="13.5" customHeight="1" x14ac:dyDescent="0.3">
      <c r="A25" s="12" t="s">
        <v>73</v>
      </c>
      <c r="B25" s="15">
        <v>746858779</v>
      </c>
      <c r="C25" s="15">
        <v>1735804850</v>
      </c>
      <c r="D25" s="13">
        <v>1821321478</v>
      </c>
      <c r="G25" s="3"/>
      <c r="H25" s="38"/>
      <c r="I25" s="38"/>
      <c r="J25" s="38"/>
      <c r="K25" s="38"/>
    </row>
    <row r="26" spans="1:11" ht="14.4" x14ac:dyDescent="0.3">
      <c r="A26" s="12" t="s">
        <v>83</v>
      </c>
      <c r="B26" s="15">
        <v>283757239</v>
      </c>
      <c r="C26" s="15">
        <v>1106970688</v>
      </c>
      <c r="D26" s="13">
        <v>940178038</v>
      </c>
      <c r="G26" s="1" t="s">
        <v>59</v>
      </c>
      <c r="H26" s="38"/>
      <c r="I26" s="38"/>
      <c r="J26" s="38"/>
      <c r="K26" s="38"/>
    </row>
    <row r="27" spans="1:11" ht="14.4" x14ac:dyDescent="0.3">
      <c r="A27" s="12" t="s">
        <v>84</v>
      </c>
      <c r="B27" s="15">
        <v>0</v>
      </c>
      <c r="C27" s="13">
        <v>0</v>
      </c>
      <c r="D27" s="13"/>
      <c r="G27" s="3" t="s">
        <v>55</v>
      </c>
      <c r="H27" s="38">
        <v>57121941</v>
      </c>
      <c r="I27" s="38">
        <v>62174234</v>
      </c>
      <c r="J27" s="38">
        <v>67033365</v>
      </c>
      <c r="K27" s="38">
        <v>77073720</v>
      </c>
    </row>
    <row r="28" spans="1:11" ht="14.4" x14ac:dyDescent="0.3">
      <c r="A28" s="12" t="s">
        <v>11</v>
      </c>
      <c r="B28" s="15">
        <v>0</v>
      </c>
      <c r="C28" s="13">
        <v>0</v>
      </c>
      <c r="D28" s="13">
        <v>0</v>
      </c>
      <c r="G28" s="3" t="s">
        <v>54</v>
      </c>
      <c r="H28" s="38">
        <v>1543017451</v>
      </c>
      <c r="I28" s="38">
        <v>886009277</v>
      </c>
      <c r="J28" s="38">
        <v>983538295</v>
      </c>
      <c r="K28" s="38">
        <v>1346294956</v>
      </c>
    </row>
    <row r="29" spans="1:11" ht="14.4" x14ac:dyDescent="0.3">
      <c r="A29" s="12" t="s">
        <v>12</v>
      </c>
      <c r="B29" s="15">
        <v>0</v>
      </c>
      <c r="C29" s="13">
        <v>0</v>
      </c>
      <c r="D29" s="13">
        <v>0</v>
      </c>
      <c r="G29" s="3" t="s">
        <v>77</v>
      </c>
      <c r="H29" s="38">
        <v>59579602</v>
      </c>
      <c r="I29" s="38">
        <v>28165995</v>
      </c>
      <c r="J29" s="38">
        <v>38494451</v>
      </c>
      <c r="K29" s="38">
        <v>36881435</v>
      </c>
    </row>
    <row r="30" spans="1:11" ht="14.4" x14ac:dyDescent="0.3">
      <c r="A30" s="12" t="s">
        <v>35</v>
      </c>
      <c r="B30" s="15">
        <v>0</v>
      </c>
      <c r="C30" s="15">
        <v>0</v>
      </c>
      <c r="D30" s="15">
        <v>0</v>
      </c>
      <c r="G30" s="3" t="s">
        <v>58</v>
      </c>
      <c r="H30" s="38">
        <v>988093</v>
      </c>
      <c r="I30" s="38">
        <v>31342050</v>
      </c>
      <c r="J30" s="38">
        <v>0</v>
      </c>
      <c r="K30" s="38">
        <v>0</v>
      </c>
    </row>
    <row r="31" spans="1:11" ht="14.4" x14ac:dyDescent="0.3">
      <c r="A31" s="12" t="s">
        <v>74</v>
      </c>
      <c r="B31" s="15">
        <v>176977342</v>
      </c>
      <c r="C31" s="13">
        <v>208810362</v>
      </c>
      <c r="D31" s="13">
        <v>152085928</v>
      </c>
      <c r="G31" s="3" t="s">
        <v>57</v>
      </c>
      <c r="H31" s="38">
        <v>34319974</v>
      </c>
      <c r="I31" s="38">
        <v>878943217</v>
      </c>
      <c r="J31" s="38">
        <v>10495947</v>
      </c>
      <c r="K31" s="38">
        <v>12449171</v>
      </c>
    </row>
    <row r="32" spans="1:11" ht="14.4" x14ac:dyDescent="0.3">
      <c r="A32" s="12" t="s">
        <v>78</v>
      </c>
      <c r="B32" s="15">
        <v>12414990</v>
      </c>
      <c r="C32" s="13">
        <v>42309069</v>
      </c>
      <c r="D32" s="13">
        <v>54461099</v>
      </c>
      <c r="G32" s="3" t="s">
        <v>56</v>
      </c>
      <c r="H32" s="38">
        <v>1116210433</v>
      </c>
      <c r="I32" s="38"/>
      <c r="J32" s="38">
        <v>753065288</v>
      </c>
      <c r="K32" s="38">
        <v>942649704</v>
      </c>
    </row>
    <row r="33" spans="1:11" ht="14.4" x14ac:dyDescent="0.3">
      <c r="A33" s="12" t="s">
        <v>75</v>
      </c>
      <c r="B33" s="15">
        <v>-237267215</v>
      </c>
      <c r="C33" s="13">
        <v>61434984</v>
      </c>
      <c r="D33" s="13">
        <v>81554686</v>
      </c>
      <c r="G33" s="3" t="s">
        <v>37</v>
      </c>
      <c r="H33" s="38"/>
      <c r="I33" s="38"/>
      <c r="J33" s="38"/>
      <c r="K33" s="38"/>
    </row>
    <row r="34" spans="1:11" ht="14.4" x14ac:dyDescent="0.3">
      <c r="A34" s="12" t="s">
        <v>69</v>
      </c>
      <c r="B34" s="15">
        <v>598009</v>
      </c>
      <c r="C34" s="13">
        <v>-8622210</v>
      </c>
      <c r="D34" s="13">
        <v>-2715470</v>
      </c>
      <c r="G34" s="3"/>
      <c r="H34" s="39">
        <f>SUM(H27:H33)</f>
        <v>2811237494</v>
      </c>
      <c r="I34" s="39">
        <f>SUM(I27:I33)</f>
        <v>1886634773</v>
      </c>
      <c r="J34" s="39">
        <f t="shared" ref="J34" si="0">SUM(J27:J33)</f>
        <v>1852627346</v>
      </c>
      <c r="K34" s="39">
        <f>SUM(K27:K33)</f>
        <v>2415348986</v>
      </c>
    </row>
    <row r="35" spans="1:11" ht="14.4" x14ac:dyDescent="0.3">
      <c r="A35" s="12" t="s">
        <v>70</v>
      </c>
      <c r="B35" s="15">
        <v>46848980</v>
      </c>
      <c r="C35" s="13">
        <v>-61796424</v>
      </c>
      <c r="D35" s="13">
        <v>12865925</v>
      </c>
      <c r="G35" s="3"/>
      <c r="H35" s="38"/>
      <c r="I35" s="38"/>
      <c r="J35" s="38"/>
      <c r="K35" s="38"/>
    </row>
    <row r="36" spans="1:11" ht="14.4" x14ac:dyDescent="0.3">
      <c r="A36" s="18" t="s">
        <v>71</v>
      </c>
      <c r="B36" s="15">
        <v>4360674</v>
      </c>
      <c r="C36" s="13">
        <v>-1254999</v>
      </c>
      <c r="D36" s="13">
        <v>-2033287</v>
      </c>
      <c r="G36" s="1" t="s">
        <v>87</v>
      </c>
      <c r="H36" s="39">
        <f>H24-H34</f>
        <v>1537742170</v>
      </c>
      <c r="I36" s="39">
        <f t="shared" ref="I36:K36" si="1">I24-I34</f>
        <v>3610950327</v>
      </c>
      <c r="J36" s="39">
        <f t="shared" si="1"/>
        <v>3692994662</v>
      </c>
      <c r="K36" s="39">
        <f t="shared" si="1"/>
        <v>4167548951</v>
      </c>
    </row>
    <row r="37" spans="1:11" ht="14.4" x14ac:dyDescent="0.3">
      <c r="A37" s="12" t="s">
        <v>79</v>
      </c>
      <c r="B37" s="15"/>
      <c r="C37" s="13">
        <v>0</v>
      </c>
      <c r="D37" s="13">
        <v>0</v>
      </c>
      <c r="G37" s="3"/>
      <c r="H37" s="38"/>
      <c r="I37" s="38"/>
      <c r="J37" s="38"/>
      <c r="K37" s="38"/>
    </row>
    <row r="38" spans="1:11" ht="14.4" x14ac:dyDescent="0.3">
      <c r="A38" s="12" t="s">
        <v>85</v>
      </c>
      <c r="B38" s="15">
        <v>0</v>
      </c>
      <c r="C38" s="13">
        <v>0</v>
      </c>
      <c r="D38" s="13">
        <v>0</v>
      </c>
      <c r="G38" s="3"/>
      <c r="H38" s="38"/>
      <c r="I38" s="38"/>
      <c r="J38" s="38"/>
      <c r="K38" s="38"/>
    </row>
    <row r="39" spans="1:11" ht="14.4" x14ac:dyDescent="0.3">
      <c r="A39" s="12" t="s">
        <v>19</v>
      </c>
      <c r="B39" s="15">
        <v>0</v>
      </c>
      <c r="C39" s="13">
        <v>0</v>
      </c>
      <c r="D39" s="13">
        <v>0</v>
      </c>
      <c r="G39" s="3" t="s">
        <v>32</v>
      </c>
      <c r="H39" s="38">
        <v>0</v>
      </c>
      <c r="I39" s="38">
        <v>0</v>
      </c>
      <c r="J39" s="38">
        <v>0</v>
      </c>
      <c r="K39" s="38">
        <v>0</v>
      </c>
    </row>
    <row r="40" spans="1:11" ht="14.4" x14ac:dyDescent="0.3">
      <c r="A40" s="10" t="s">
        <v>20</v>
      </c>
      <c r="B40" s="11">
        <v>1682384036</v>
      </c>
      <c r="C40" s="11">
        <v>3873772522</v>
      </c>
      <c r="D40" s="11">
        <v>4001250865</v>
      </c>
      <c r="E40" s="16"/>
      <c r="G40" s="3" t="s">
        <v>33</v>
      </c>
      <c r="H40" s="38">
        <v>0</v>
      </c>
      <c r="I40" s="38">
        <v>0</v>
      </c>
      <c r="J40" s="38">
        <v>0</v>
      </c>
      <c r="K40" s="38">
        <v>0</v>
      </c>
    </row>
    <row r="41" spans="1:11" ht="14.4" x14ac:dyDescent="0.3">
      <c r="A41" s="10"/>
      <c r="B41" s="11"/>
      <c r="C41" s="11"/>
      <c r="D41" s="11"/>
      <c r="G41" s="3"/>
      <c r="H41" s="38"/>
      <c r="I41" s="38"/>
      <c r="J41" s="38"/>
      <c r="K41" s="38"/>
    </row>
    <row r="42" spans="1:11" ht="14.4" x14ac:dyDescent="0.3">
      <c r="A42" s="10" t="s">
        <v>38</v>
      </c>
      <c r="B42" s="11">
        <v>2073208158</v>
      </c>
      <c r="C42" s="11">
        <v>82044334</v>
      </c>
      <c r="D42" s="11">
        <v>474554292</v>
      </c>
      <c r="G42" s="1" t="s">
        <v>34</v>
      </c>
      <c r="H42" s="39">
        <f>H36+H39+H40</f>
        <v>1537742170</v>
      </c>
      <c r="I42" s="39">
        <f t="shared" ref="I42:K42" si="2">I36-I39+I40</f>
        <v>3610950327</v>
      </c>
      <c r="J42" s="39">
        <f t="shared" si="2"/>
        <v>3692994662</v>
      </c>
      <c r="K42" s="39">
        <f t="shared" si="2"/>
        <v>4167548951</v>
      </c>
    </row>
    <row r="43" spans="1:11" x14ac:dyDescent="0.3">
      <c r="A43" s="10"/>
      <c r="B43" s="11"/>
      <c r="C43" s="11"/>
      <c r="D43" s="11"/>
      <c r="I43" s="16"/>
    </row>
    <row r="44" spans="1:11" x14ac:dyDescent="0.3">
      <c r="A44" s="10" t="s">
        <v>21</v>
      </c>
      <c r="B44" s="11">
        <v>3610950328</v>
      </c>
      <c r="C44" s="11">
        <v>3692994661</v>
      </c>
      <c r="D44" s="11">
        <v>4167548954</v>
      </c>
    </row>
    <row r="45" spans="1:11" x14ac:dyDescent="0.3">
      <c r="B45" s="20">
        <f>B44-I42</f>
        <v>1</v>
      </c>
      <c r="C45" s="20">
        <f>C44-J42</f>
        <v>-1</v>
      </c>
      <c r="D45" s="20">
        <f>D44-K42</f>
        <v>3</v>
      </c>
    </row>
    <row r="46" spans="1:11" x14ac:dyDescent="0.3">
      <c r="A46" s="21" t="s">
        <v>22</v>
      </c>
      <c r="B46" s="22">
        <f>SUM(B10:B14)+B21</f>
        <v>3113178055</v>
      </c>
      <c r="C46" s="22">
        <f>SUM(C10:C14)+C21</f>
        <v>3465894113</v>
      </c>
      <c r="D46" s="22">
        <f>SUM(D10:D14)+D21</f>
        <v>3716722544</v>
      </c>
    </row>
    <row r="47" spans="1:11" x14ac:dyDescent="0.3">
      <c r="A47" s="21" t="s">
        <v>23</v>
      </c>
      <c r="B47" s="22">
        <f t="shared" ref="B47:C47" si="3">SUM(B24:B33)+B37</f>
        <v>1630576373</v>
      </c>
      <c r="C47" s="22">
        <f t="shared" si="3"/>
        <v>3945446155</v>
      </c>
      <c r="D47" s="22">
        <f>SUM(D24:D33)+D37</f>
        <v>3993133697</v>
      </c>
    </row>
    <row r="48" spans="1:11" x14ac:dyDescent="0.3">
      <c r="A48" s="21" t="s">
        <v>24</v>
      </c>
      <c r="B48" s="23">
        <f>B46-B47</f>
        <v>1482601682</v>
      </c>
      <c r="C48" s="24">
        <f>C46-C47</f>
        <v>-479552042</v>
      </c>
      <c r="D48" s="23">
        <f>D46-D47</f>
        <v>-276411153</v>
      </c>
    </row>
    <row r="49" spans="1:4" x14ac:dyDescent="0.3">
      <c r="A49" s="25" t="s">
        <v>25</v>
      </c>
      <c r="B49" s="26">
        <f>B62</f>
        <v>0.26393334269523616</v>
      </c>
      <c r="C49" s="26">
        <f t="shared" ref="C49" si="4">C62</f>
        <v>0.16616614460945134</v>
      </c>
      <c r="D49" s="26">
        <f>D62</f>
        <v>0.2108850777149201</v>
      </c>
    </row>
    <row r="50" spans="1:4" x14ac:dyDescent="0.3">
      <c r="A50" s="27"/>
      <c r="B50" s="27"/>
      <c r="C50" s="27"/>
      <c r="D50" s="27"/>
    </row>
    <row r="51" spans="1:4" x14ac:dyDescent="0.3">
      <c r="A51" s="28"/>
      <c r="B51" s="29"/>
      <c r="C51" s="29"/>
    </row>
    <row r="52" spans="1:4" x14ac:dyDescent="0.3">
      <c r="A52" s="28"/>
    </row>
    <row r="53" spans="1:4" x14ac:dyDescent="0.3">
      <c r="A53" s="6" t="s">
        <v>26</v>
      </c>
      <c r="B53" s="6" t="s">
        <v>27</v>
      </c>
      <c r="C53" s="6"/>
      <c r="D53" s="6" t="s">
        <v>28</v>
      </c>
    </row>
    <row r="54" spans="1:4" x14ac:dyDescent="0.3">
      <c r="A54" s="5"/>
      <c r="B54" s="5"/>
      <c r="C54" s="6"/>
      <c r="D54" s="5"/>
    </row>
    <row r="55" spans="1:4" x14ac:dyDescent="0.3">
      <c r="A55" s="5"/>
      <c r="B55" s="5"/>
      <c r="C55" s="6"/>
      <c r="D55" s="5"/>
    </row>
    <row r="56" spans="1:4" x14ac:dyDescent="0.3">
      <c r="A56" s="19" t="s">
        <v>0</v>
      </c>
      <c r="B56" s="31">
        <v>44196</v>
      </c>
      <c r="C56" s="31">
        <v>44561</v>
      </c>
      <c r="D56" s="31">
        <v>44926</v>
      </c>
    </row>
    <row r="57" spans="1:4" x14ac:dyDescent="0.3">
      <c r="B57" s="31">
        <f>B56+365.25/2</f>
        <v>44378.625</v>
      </c>
      <c r="C57" s="31">
        <f>C56+365.25/2</f>
        <v>44743.625</v>
      </c>
      <c r="D57" s="31">
        <f>D56+365.25/2</f>
        <v>45108.625</v>
      </c>
    </row>
    <row r="58" spans="1:4" x14ac:dyDescent="0.3">
      <c r="B58" s="31">
        <v>44561</v>
      </c>
      <c r="C58" s="31">
        <f>B58+365.25</f>
        <v>44926.25</v>
      </c>
      <c r="D58" s="31">
        <f>C58+365.25</f>
        <v>45291.5</v>
      </c>
    </row>
    <row r="59" spans="1:4" x14ac:dyDescent="0.3">
      <c r="A59" s="19" t="s">
        <v>80</v>
      </c>
      <c r="B59" s="32">
        <f>B8</f>
        <v>1537742170</v>
      </c>
      <c r="C59" s="32">
        <f>C8</f>
        <v>3610950327</v>
      </c>
      <c r="D59" s="32">
        <f>D8</f>
        <v>3692994662</v>
      </c>
    </row>
    <row r="60" spans="1:4" x14ac:dyDescent="0.3">
      <c r="A60" s="19" t="s">
        <v>81</v>
      </c>
      <c r="B60" s="32">
        <f>B48</f>
        <v>1482601682</v>
      </c>
      <c r="C60" s="32">
        <f t="shared" ref="C60" si="5">C48</f>
        <v>-479552042</v>
      </c>
      <c r="D60" s="32">
        <f>D48</f>
        <v>-276411153</v>
      </c>
    </row>
    <row r="61" spans="1:4" x14ac:dyDescent="0.3">
      <c r="A61" s="19" t="s">
        <v>82</v>
      </c>
      <c r="B61" s="32">
        <f>-B44</f>
        <v>-3610950328</v>
      </c>
      <c r="C61" s="32">
        <f t="shared" ref="C61:D61" si="6">-C44</f>
        <v>-3692994661</v>
      </c>
      <c r="D61" s="32">
        <f t="shared" si="6"/>
        <v>-4167548954</v>
      </c>
    </row>
    <row r="62" spans="1:4" x14ac:dyDescent="0.3">
      <c r="B62" s="40">
        <f>XIRR(B59:B61,B56:B58)</f>
        <v>0.26393334269523616</v>
      </c>
      <c r="C62" s="40">
        <f>XIRR(C59:C61,C56:C58)</f>
        <v>0.16616614460945134</v>
      </c>
      <c r="D62" s="40">
        <f t="shared" ref="D62" si="7">XIRR(D59:D61,D56:D58)</f>
        <v>0.2108850777149201</v>
      </c>
    </row>
    <row r="66" spans="1:4" x14ac:dyDescent="0.3">
      <c r="A66" s="35" t="s">
        <v>36</v>
      </c>
      <c r="B66" s="34"/>
      <c r="C66" s="34"/>
      <c r="D66" s="34"/>
    </row>
    <row r="67" spans="1:4" x14ac:dyDescent="0.3">
      <c r="A67" s="18"/>
      <c r="B67" s="34"/>
      <c r="C67" s="34"/>
      <c r="D67" s="34"/>
    </row>
    <row r="68" spans="1:4" x14ac:dyDescent="0.3">
      <c r="A68" s="18" t="s">
        <v>13</v>
      </c>
      <c r="B68" s="36">
        <v>0</v>
      </c>
      <c r="C68" s="36">
        <v>0</v>
      </c>
      <c r="D68" s="36">
        <v>0</v>
      </c>
    </row>
    <row r="69" spans="1:4" x14ac:dyDescent="0.3">
      <c r="A69" s="18" t="s">
        <v>14</v>
      </c>
      <c r="B69" s="36">
        <v>0</v>
      </c>
      <c r="C69" s="36">
        <v>0</v>
      </c>
      <c r="D69" s="36">
        <v>0</v>
      </c>
    </row>
    <row r="70" spans="1:4" x14ac:dyDescent="0.3">
      <c r="A70" s="18" t="s">
        <v>15</v>
      </c>
      <c r="B70" s="36">
        <v>0</v>
      </c>
      <c r="C70" s="36">
        <v>0</v>
      </c>
      <c r="D70" s="36">
        <v>0</v>
      </c>
    </row>
    <row r="71" spans="1:4" x14ac:dyDescent="0.3">
      <c r="A71" s="18" t="s">
        <v>16</v>
      </c>
      <c r="B71" s="36">
        <f t="shared" ref="B71:D71" si="8">-B31</f>
        <v>-176977342</v>
      </c>
      <c r="C71" s="36">
        <f t="shared" si="8"/>
        <v>-208810362</v>
      </c>
      <c r="D71" s="36">
        <f t="shared" si="8"/>
        <v>-152085928</v>
      </c>
    </row>
    <row r="72" spans="1:4" x14ac:dyDescent="0.3">
      <c r="A72" s="18" t="s">
        <v>17</v>
      </c>
      <c r="B72" s="36">
        <v>0</v>
      </c>
      <c r="C72" s="36">
        <v>0</v>
      </c>
      <c r="D72" s="36">
        <v>0</v>
      </c>
    </row>
    <row r="73" spans="1:4" x14ac:dyDescent="0.3">
      <c r="A73" s="18" t="s">
        <v>18</v>
      </c>
      <c r="B73" s="36">
        <f t="shared" ref="B73:D73" si="9">-B34</f>
        <v>-598009</v>
      </c>
      <c r="C73" s="36">
        <f t="shared" si="9"/>
        <v>8622210</v>
      </c>
      <c r="D73" s="36">
        <f t="shared" si="9"/>
        <v>2715470</v>
      </c>
    </row>
    <row r="74" spans="1:4" x14ac:dyDescent="0.3">
      <c r="A74" s="18"/>
      <c r="B74" s="34"/>
      <c r="C74" s="34"/>
      <c r="D74" s="34"/>
    </row>
    <row r="75" spans="1:4" x14ac:dyDescent="0.3">
      <c r="A75" s="35" t="s">
        <v>30</v>
      </c>
      <c r="B75" s="37">
        <f t="shared" ref="B75:D75" si="10">SUM(B68:B73)</f>
        <v>-177575351</v>
      </c>
      <c r="C75" s="37">
        <f t="shared" si="10"/>
        <v>-200188152</v>
      </c>
      <c r="D75" s="37">
        <f t="shared" si="10"/>
        <v>-149370458</v>
      </c>
    </row>
  </sheetData>
  <conditionalFormatting sqref="A1:XFD1048576">
    <cfRule type="cellIs" dxfId="0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82" orientation="portrait" r:id="rId1"/>
  <headerFooter>
    <oddHeader>&amp;Z&amp;F</oddHeader>
    <oddFooter>&amp;Z&amp;F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9D49E4CAC2248BC20CEAF2CA780F4" ma:contentTypeVersion="12" ma:contentTypeDescription="Create a new document." ma:contentTypeScope="" ma:versionID="9f8825cc44e44fd83334cc3d6e8d80a4">
  <xsd:schema xmlns:xsd="http://www.w3.org/2001/XMLSchema" xmlns:xs="http://www.w3.org/2001/XMLSchema" xmlns:p="http://schemas.microsoft.com/office/2006/metadata/properties" xmlns:ns2="90ff0977-de6e-4270-8ef5-a3e4f8c074de" xmlns:ns3="d110e57a-3d27-4a1b-8715-a4e495f68800" targetNamespace="http://schemas.microsoft.com/office/2006/metadata/properties" ma:root="true" ma:fieldsID="8623ec1df11de61c85f01833256eea5e" ns2:_="" ns3:_="">
    <xsd:import namespace="90ff0977-de6e-4270-8ef5-a3e4f8c074de"/>
    <xsd:import namespace="d110e57a-3d27-4a1b-8715-a4e495f688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ff0977-de6e-4270-8ef5-a3e4f8c074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47630e7-e63c-4206-81e5-fb1f335280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10e57a-3d27-4a1b-8715-a4e495f6880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55d3d9e-59c8-45d9-9b47-a8ca4e8f40a1}" ma:internalName="TaxCatchAll" ma:showField="CatchAllData" ma:web="d110e57a-3d27-4a1b-8715-a4e495f688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FCAF09-D56D-4309-AB67-D95F10F6F6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41E729-FC65-4920-B24B-7BBD1243BB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ff0977-de6e-4270-8ef5-a3e4f8c074de"/>
    <ds:schemaRef ds:uri="d110e57a-3d27-4a1b-8715-a4e495f688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Revenue Acc</vt:lpstr>
      <vt:lpstr>'Revenue Acc'!Print_Area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Blessmore Chakundura</cp:lastModifiedBy>
  <dcterms:created xsi:type="dcterms:W3CDTF">2022-08-07T09:36:41Z</dcterms:created>
  <dcterms:modified xsi:type="dcterms:W3CDTF">2026-06-10T09:21:17Z</dcterms:modified>
</cp:coreProperties>
</file>